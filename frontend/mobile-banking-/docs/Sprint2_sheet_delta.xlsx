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226E1CD3D127B4/Documents/"/>
    </mc:Choice>
  </mc:AlternateContent>
  <xr:revisionPtr revIDLastSave="273" documentId="8_{D2B81BEB-8E10-4188-AFF0-3BF3415A38E7}" xr6:coauthVersionLast="47" xr6:coauthVersionMax="47" xr10:uidLastSave="{69AD14D1-D07F-9844-AC51-D3E1EB965A55}"/>
  <bookViews>
    <workbookView xWindow="-110" yWindow="-110" windowWidth="19420" windowHeight="10300" xr2:uid="{00000000-000D-0000-FFFF-FFFF00000000}"/>
  </bookViews>
  <sheets>
    <sheet name="team del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C35" i="1"/>
  <c r="G35" i="1"/>
  <c r="G37" i="1"/>
  <c r="G34" i="1"/>
  <c r="I19" i="1"/>
  <c r="I20" i="1"/>
  <c r="I21" i="1"/>
  <c r="I22" i="1"/>
  <c r="I23" i="1"/>
  <c r="K27" i="1"/>
  <c r="J27" i="1"/>
  <c r="G27" i="1"/>
  <c r="I26" i="1"/>
  <c r="I25" i="1"/>
  <c r="I18" i="1"/>
  <c r="I27" i="1"/>
  <c r="H27" i="1"/>
  <c r="L27" i="1"/>
</calcChain>
</file>

<file path=xl/sharedStrings.xml><?xml version="1.0" encoding="utf-8"?>
<sst xmlns="http://schemas.openxmlformats.org/spreadsheetml/2006/main" count="167" uniqueCount="134">
  <si>
    <t xml:space="preserve">   Team Delta - Mobile Banking Application</t>
  </si>
  <si>
    <t xml:space="preserve">  👥  TEAM ROSTER</t>
  </si>
  <si>
    <t>#</t>
  </si>
  <si>
    <t>Member Name</t>
  </si>
  <si>
    <t>Role</t>
  </si>
  <si>
    <t>Email</t>
  </si>
  <si>
    <t>Sprint Focus</t>
  </si>
  <si>
    <t>Pts/Sprint</t>
  </si>
  <si>
    <t>Availability</t>
  </si>
  <si>
    <t>Status</t>
  </si>
  <si>
    <t>Manognya Jain</t>
  </si>
  <si>
    <t>24211a6772@bvrit.ac.in</t>
  </si>
  <si>
    <t>Active</t>
  </si>
  <si>
    <t>Shrestha</t>
  </si>
  <si>
    <t>product owner</t>
  </si>
  <si>
    <t>24211a6777@bvrit.ac.in</t>
  </si>
  <si>
    <t>Srawanthi</t>
  </si>
  <si>
    <t>Frontend Developer</t>
  </si>
  <si>
    <t>24211a67c1@bvrit.ac.in</t>
  </si>
  <si>
    <t>UI Development and Login activity</t>
  </si>
  <si>
    <t>Geetha</t>
  </si>
  <si>
    <t>DevOps Engineer</t>
  </si>
  <si>
    <t>24211a67c0@bvrit.ac.in</t>
  </si>
  <si>
    <t>100%</t>
  </si>
  <si>
    <t>Manasa</t>
  </si>
  <si>
    <t>tester and QA engineer</t>
  </si>
  <si>
    <t>24211a6765@bvrit.ac.in</t>
  </si>
  <si>
    <t>Ramyasri</t>
  </si>
  <si>
    <t>Backend Developer</t>
  </si>
  <si>
    <t>Abhiram</t>
  </si>
  <si>
    <t>24211a67b2@bvrit.ac.in</t>
  </si>
  <si>
    <t xml:space="preserve">  📅  SPRINT PLAN — 7 SPRINTS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</si>
  <si>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</si>
  <si>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</si>
  <si>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</si>
  <si>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</si>
  <si>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</si>
  <si>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</si>
  <si>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</si>
  <si>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</si>
  <si>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</si>
  <si>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</si>
  <si>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</si>
  <si>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</si>
  <si>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</si>
  <si>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</si>
  <si>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</si>
  <si>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Sprint #</t>
  </si>
  <si>
    <t>Sprint Goal</t>
  </si>
  <si>
    <t>Start Date</t>
  </si>
  <si>
    <t>End Date</t>
  </si>
  <si>
    <t>Duration</t>
  </si>
  <si>
    <t>Committed Pts</t>
  </si>
  <si>
    <t>Completed Pts</t>
  </si>
  <si>
    <t>% Done</t>
  </si>
  <si>
    <t>Velocity</t>
  </si>
  <si>
    <t>Defects Found</t>
  </si>
  <si>
    <t>Defects Fixed</t>
  </si>
  <si>
    <t>Carry Over</t>
  </si>
  <si>
    <t>Review Date</t>
  </si>
  <si>
    <t>Retro Date</t>
  </si>
  <si>
    <t>Notes</t>
  </si>
  <si>
    <t>Sprint 1</t>
  </si>
  <si>
    <t>Requirement Analysis &amp; Planning</t>
  </si>
  <si>
    <t>9 days</t>
  </si>
  <si>
    <t>Sprint 2</t>
  </si>
  <si>
    <t>Sprint 3</t>
  </si>
  <si>
    <t>User Management Module</t>
  </si>
  <si>
    <t>Sprint 4</t>
  </si>
  <si>
    <t>Account Management and CI/CD</t>
  </si>
  <si>
    <t>Sprint 5</t>
  </si>
  <si>
    <t>Transfer and docker</t>
  </si>
  <si>
    <t>Sprint 6</t>
  </si>
  <si>
    <t>Notifications and Payments&amp;profile</t>
  </si>
  <si>
    <t>Sprint 7</t>
  </si>
  <si>
    <t>Monitoring &amp; Final Delivery</t>
  </si>
  <si>
    <t>TOTALS</t>
  </si>
  <si>
    <t xml:space="preserve">  🔄  DAILY STAND-UP LOG  (Current Sprint)</t>
  </si>
  <si>
    <t>Member</t>
  </si>
  <si>
    <t>Yesterday's Work</t>
  </si>
  <si>
    <t>Today's Plan</t>
  </si>
  <si>
    <t>Blockers</t>
  </si>
  <si>
    <t>Story Pts</t>
  </si>
  <si>
    <t>Task Status</t>
  </si>
  <si>
    <t>Help Needed?</t>
  </si>
  <si>
    <t>Manognya</t>
  </si>
  <si>
    <t>Scrum Master</t>
  </si>
  <si>
    <t>None</t>
  </si>
  <si>
    <t>Done</t>
  </si>
  <si>
    <t>yes</t>
  </si>
  <si>
    <t>cloud and release engineer</t>
  </si>
  <si>
    <t>no</t>
  </si>
  <si>
    <t>Frontend</t>
  </si>
  <si>
    <t>Shreshta</t>
  </si>
  <si>
    <t>Poroduct owner</t>
  </si>
  <si>
    <t xml:space="preserve">QA  </t>
  </si>
  <si>
    <t>not Done</t>
  </si>
  <si>
    <t>Backend</t>
  </si>
  <si>
    <t xml:space="preserve">Geetha </t>
  </si>
  <si>
    <t>DevOps (Docker/K8s)</t>
  </si>
  <si>
    <t xml:space="preserve">  📈  SPRINT METRICS &amp; BURN-DOWN SUMMARY</t>
  </si>
  <si>
    <t>Sprint</t>
  </si>
  <si>
    <t>Committed</t>
  </si>
  <si>
    <t>Completed</t>
  </si>
  <si>
    <t>Remaining</t>
  </si>
  <si>
    <t>Defects</t>
  </si>
  <si>
    <t>Fix Rate</t>
  </si>
  <si>
    <t xml:space="preserve"> Client Updates and team checting</t>
  </si>
  <si>
    <t xml:space="preserve"> Management and team checkup</t>
  </si>
  <si>
    <t>selinium setup</t>
  </si>
  <si>
    <t>login activity,MPIN backend</t>
  </si>
  <si>
    <t>Authentication &amp; MPIN and database</t>
  </si>
  <si>
    <t xml:space="preserve">14 days </t>
  </si>
  <si>
    <t>Updates collected</t>
  </si>
  <si>
    <t>none</t>
  </si>
  <si>
    <t>cloud and Database engineer</t>
  </si>
  <si>
    <t xml:space="preserve">  Methodology: Scrum  |  Sprint Length: 2 Weeks  |  Total Sprints: 7  |  Duration: Jun–Oct 2026  |  Members: 7</t>
  </si>
  <si>
    <t>Client meetup and Report planning</t>
  </si>
  <si>
    <t>Cloud Engineer and Database</t>
  </si>
  <si>
    <t>GitHub updation, Database</t>
  </si>
  <si>
    <t>Incomplete</t>
  </si>
  <si>
    <t>Frontend  code Received</t>
  </si>
  <si>
    <t>Testing Frontend</t>
  </si>
  <si>
    <t>Backend code</t>
  </si>
  <si>
    <t>aadhar Authentication</t>
  </si>
  <si>
    <t>Backend of authorization</t>
  </si>
  <si>
    <t>submission(frontend)</t>
  </si>
  <si>
    <t>Requirement collection</t>
  </si>
  <si>
    <t xml:space="preserve">Updating Github and designing </t>
  </si>
  <si>
    <t>Github Manage</t>
  </si>
  <si>
    <t>Database managing</t>
  </si>
  <si>
    <t>Design Planning</t>
  </si>
  <si>
    <t>Authentication activity</t>
  </si>
  <si>
    <t>25215a6707@bvrit.ac.in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</si>
</sst>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0"/>
      <color rgb="FF1A237E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C0392B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37E"/>
        <bgColor rgb="FF212529"/>
      </patternFill>
    </fill>
    <fill>
      <patternFill patternType="solid">
        <fgColor rgb="FFE8EAF6"/>
        <bgColor rgb="FFECEFF1"/>
      </patternFill>
    </fill>
    <fill>
      <patternFill patternType="solid">
        <fgColor rgb="FF1E8449"/>
        <bgColor rgb="FF0E7C86"/>
      </patternFill>
    </fill>
    <fill>
      <patternFill patternType="solid">
        <fgColor rgb="FFFFFFFF"/>
        <bgColor rgb="FFF9FBE7"/>
      </patternFill>
    </fill>
    <fill>
      <patternFill patternType="solid">
        <fgColor rgb="FF5D6D7E"/>
        <bgColor rgb="FF2E6DA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rgb="FF2E6DA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3" borderId="1" xfId="1" applyFill="1" applyBorder="1" applyAlignment="1">
      <alignment horizontal="left" vertical="center"/>
    </xf>
    <xf numFmtId="0" fontId="10" fillId="5" borderId="1" xfId="1" applyFill="1" applyBorder="1" applyAlignment="1">
      <alignment horizontal="left" vertical="center"/>
    </xf>
    <xf numFmtId="15" fontId="5" fillId="3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2E6DA4"/>
          <bgColor rgb="FF5D6D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border outline="0">
        <bottom style="medium">
          <color rgb="FF1A237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F31C0-5277-4F98-8B29-007372355161}" name="Table1" displayName="Table1" ref="A15:P27" totalsRowShown="0" dataDxfId="17" tableBorderDxfId="16">
  <autoFilter ref="A15:P27" xr:uid="{8C7F31C0-5277-4F98-8B29-007372355161}"/>
  <tableColumns count="16">
    <tableColumn id="1" xr3:uid="{0DB87791-83F4-401C-A172-9E86788DC647}" name="  📅  SPRINT PLAN — 7 SPRINTS" dataDxfId="15"/>
    <tableColumn id="2" xr3:uid="{36FBE504-D91F-454D-A1AF-14846FBE202E}" name="Column1" dataDxfId="14"/>
    <tableColumn id="3" xr3:uid="{69288228-AEFE-4EAB-934B-EF1319114131}" name="Column2" dataDxfId="13"/>
    <tableColumn id="4" xr3:uid="{AEE3FA95-D43C-4B38-B223-8CA675CFCB33}" name="Column3" dataDxfId="12"/>
    <tableColumn id="5" xr3:uid="{79D5102E-107E-4344-A761-D58221F5ACB2}" name="Column4" dataDxfId="11"/>
    <tableColumn id="6" xr3:uid="{239749E4-7650-4531-8238-218BD5F8CD2F}" name="Column5" dataDxfId="10"/>
    <tableColumn id="7" xr3:uid="{66F77005-AACB-4984-BB9C-5CBAF35B8382}" name="Column6" dataDxfId="9"/>
    <tableColumn id="8" xr3:uid="{BA8E0E51-E978-4638-91AD-80CAD197859D}" name="Column7" dataDxfId="8"/>
    <tableColumn id="9" xr3:uid="{1487291F-11D9-46A6-9466-E951AE63F8E1}" name="Column8" dataDxfId="7"/>
    <tableColumn id="10" xr3:uid="{58176D04-14DB-4F65-8046-B0DC4E8FD204}" name="Column9" dataDxfId="6"/>
    <tableColumn id="11" xr3:uid="{70B2D5BA-6145-4647-9B53-CD0AD52B0DEF}" name="Column10" dataDxfId="5"/>
    <tableColumn id="12" xr3:uid="{FEBFF320-6926-4F54-99E4-0013C9C0B377}" name="Column11" dataDxfId="4"/>
    <tableColumn id="13" xr3:uid="{3C0345BF-F320-49D9-B9CE-DEF932080027}" name="Column12" dataDxfId="3"/>
    <tableColumn id="14" xr3:uid="{C919E9BD-C956-44FA-842E-12D0DF9F6FC7}" name="Column13" dataDxfId="2"/>
    <tableColumn id="15" xr3:uid="{012B95F3-1472-4355-9B5E-03F6B2035C2C}" name="Column14" dataDxfId="1"/>
    <tableColumn id="16" xr3:uid="{5413E568-96E2-497A-8EBD-608AFDB0125C}" name="Column15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24211a67c1@bvrit.ac.in" TargetMode="External"/><Relationship Id="rId7" Type="http://schemas.openxmlformats.org/officeDocument/2006/relationships/hyperlink" Target="mailto:24211a67b2@bvrit.ac.in" TargetMode="External"/><Relationship Id="rId2" Type="http://schemas.openxmlformats.org/officeDocument/2006/relationships/hyperlink" Target="mailto:24211a6777@bvrit.ac.in" TargetMode="External"/><Relationship Id="rId1" Type="http://schemas.openxmlformats.org/officeDocument/2006/relationships/hyperlink" Target="mailto:24211a6772@bvrit.ac.in" TargetMode="External"/><Relationship Id="rId6" Type="http://schemas.openxmlformats.org/officeDocument/2006/relationships/hyperlink" Target="mailto:25215a6707@bvrit.ac.in" TargetMode="External"/><Relationship Id="rId5" Type="http://schemas.openxmlformats.org/officeDocument/2006/relationships/hyperlink" Target="mailto:24211a6765@bvrit.ac.in" TargetMode="External"/><Relationship Id="rId4" Type="http://schemas.openxmlformats.org/officeDocument/2006/relationships/hyperlink" Target="mailto:24211a67c0@bvr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showGridLines="0" tabSelected="1" zoomScale="41" zoomScaleNormal="100" workbookViewId="0">
      <selection activeCell="D14" sqref="D14"/>
    </sheetView>
  </sheetViews>
  <sheetFormatPr defaultColWidth="8.453125" defaultRowHeight="14.5" x14ac:dyDescent="0.35"/>
  <cols>
    <col min="1" max="1" width="35.81640625" customWidth="1"/>
    <col min="2" max="2" width="20.81640625" customWidth="1"/>
    <col min="3" max="3" width="29.453125" customWidth="1"/>
    <col min="4" max="4" width="24.7265625" customWidth="1"/>
    <col min="5" max="5" width="27.453125" customWidth="1"/>
    <col min="6" max="9" width="10.1796875" customWidth="1"/>
    <col min="10" max="10" width="13" customWidth="1"/>
    <col min="11" max="13" width="12" customWidth="1"/>
    <col min="14" max="15" width="13" customWidth="1"/>
    <col min="16" max="16" width="22.08984375" customWidth="1"/>
  </cols>
  <sheetData>
    <row r="1" spans="1:16" ht="43.5" customHeight="1" x14ac:dyDescent="0.3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9.5" customHeight="1" x14ac:dyDescent="0.35">
      <c r="A2" s="35" t="s">
        <v>116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4" spans="1:16" ht="27.75" customHeight="1" x14ac:dyDescent="0.35">
      <c r="A4" s="34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ht="27.75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16" ht="21.75" customHeight="1" x14ac:dyDescent="0.35">
      <c r="A6" s="2">
        <v>1</v>
      </c>
      <c r="B6" s="3" t="s">
        <v>10</v>
      </c>
      <c r="C6" s="4" t="s">
        <v>86</v>
      </c>
      <c r="D6" s="22" t="s">
        <v>11</v>
      </c>
      <c r="E6" t="s">
        <v>108</v>
      </c>
      <c r="F6" s="2">
        <v>4</v>
      </c>
      <c r="G6" s="11">
        <v>1</v>
      </c>
      <c r="H6" s="5" t="s">
        <v>12</v>
      </c>
    </row>
    <row r="7" spans="1:16" ht="21.75" customHeight="1" x14ac:dyDescent="0.35">
      <c r="A7" s="6">
        <v>2</v>
      </c>
      <c r="B7" s="7" t="s">
        <v>13</v>
      </c>
      <c r="C7" s="8" t="s">
        <v>14</v>
      </c>
      <c r="D7" s="23" t="s">
        <v>15</v>
      </c>
      <c r="E7" s="4" t="s">
        <v>107</v>
      </c>
      <c r="F7" s="6">
        <v>4</v>
      </c>
      <c r="G7" s="14">
        <v>1</v>
      </c>
      <c r="H7" s="5" t="s">
        <v>12</v>
      </c>
    </row>
    <row r="8" spans="1:16" ht="21.75" customHeight="1" x14ac:dyDescent="0.35">
      <c r="A8" s="2">
        <v>3</v>
      </c>
      <c r="B8" s="3" t="s">
        <v>16</v>
      </c>
      <c r="C8" s="4" t="s">
        <v>17</v>
      </c>
      <c r="D8" s="22" t="s">
        <v>18</v>
      </c>
      <c r="E8" s="4" t="s">
        <v>19</v>
      </c>
      <c r="F8" s="2">
        <v>5</v>
      </c>
      <c r="G8" s="11">
        <v>1</v>
      </c>
      <c r="H8" s="5" t="s">
        <v>12</v>
      </c>
    </row>
    <row r="9" spans="1:16" ht="21.75" customHeight="1" x14ac:dyDescent="0.35">
      <c r="A9" s="6">
        <v>4</v>
      </c>
      <c r="B9" s="7" t="s">
        <v>20</v>
      </c>
      <c r="C9" s="8" t="s">
        <v>21</v>
      </c>
      <c r="D9" s="23" t="s">
        <v>22</v>
      </c>
      <c r="E9" s="8" t="s">
        <v>119</v>
      </c>
      <c r="F9" s="6">
        <v>4</v>
      </c>
      <c r="G9" s="6" t="s">
        <v>23</v>
      </c>
      <c r="H9" s="5" t="s">
        <v>12</v>
      </c>
    </row>
    <row r="10" spans="1:16" ht="21.75" customHeight="1" x14ac:dyDescent="0.35">
      <c r="A10" s="2">
        <v>5</v>
      </c>
      <c r="B10" s="3" t="s">
        <v>24</v>
      </c>
      <c r="C10" s="4" t="s">
        <v>25</v>
      </c>
      <c r="D10" s="22" t="s">
        <v>26</v>
      </c>
      <c r="E10" s="4" t="s">
        <v>109</v>
      </c>
      <c r="F10" s="2">
        <v>3</v>
      </c>
      <c r="G10" s="11">
        <v>1</v>
      </c>
      <c r="H10" s="5" t="s">
        <v>12</v>
      </c>
    </row>
    <row r="11" spans="1:16" ht="21.75" customHeight="1" x14ac:dyDescent="0.35">
      <c r="A11" s="6">
        <v>6</v>
      </c>
      <c r="B11" s="7" t="s">
        <v>27</v>
      </c>
      <c r="C11" s="8" t="s">
        <v>28</v>
      </c>
      <c r="D11" s="23" t="s">
        <v>133</v>
      </c>
      <c r="E11" s="8" t="s">
        <v>110</v>
      </c>
      <c r="F11" s="6">
        <v>5</v>
      </c>
      <c r="G11" s="14">
        <v>1</v>
      </c>
      <c r="H11" s="5" t="s">
        <v>12</v>
      </c>
    </row>
    <row r="12" spans="1:16" ht="21.75" customHeight="1" x14ac:dyDescent="0.35">
      <c r="A12" s="2">
        <v>7</v>
      </c>
      <c r="B12" s="3" t="s">
        <v>29</v>
      </c>
      <c r="C12" s="4" t="s">
        <v>118</v>
      </c>
      <c r="D12" s="22" t="s">
        <v>30</v>
      </c>
      <c r="E12" s="8" t="s">
        <v>115</v>
      </c>
      <c r="F12" s="2">
        <v>4</v>
      </c>
      <c r="G12" s="11">
        <v>1</v>
      </c>
      <c r="H12" s="5" t="s">
        <v>12</v>
      </c>
    </row>
    <row r="15" spans="1:16" ht="27.75" customHeight="1" x14ac:dyDescent="0.35">
      <c r="A15" s="28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</row>
    <row r="16" spans="1:16" ht="27.75" customHeight="1" x14ac:dyDescent="0.35">
      <c r="A16" s="1" t="s">
        <v>47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52</v>
      </c>
      <c r="G16" s="1" t="s">
        <v>53</v>
      </c>
      <c r="H16" s="1" t="s">
        <v>54</v>
      </c>
      <c r="I16" s="1" t="s">
        <v>55</v>
      </c>
      <c r="J16" s="1" t="s">
        <v>56</v>
      </c>
      <c r="K16" s="1" t="s">
        <v>57</v>
      </c>
      <c r="L16" s="1" t="s">
        <v>58</v>
      </c>
      <c r="M16" s="1" t="s">
        <v>9</v>
      </c>
      <c r="N16" s="1" t="s">
        <v>59</v>
      </c>
      <c r="O16" s="1" t="s">
        <v>60</v>
      </c>
      <c r="P16" s="1" t="s">
        <v>61</v>
      </c>
    </row>
    <row r="17" spans="1:16" ht="21.75" customHeight="1" x14ac:dyDescent="0.35">
      <c r="A17" t="s">
        <v>62</v>
      </c>
      <c r="B17" t="s">
        <v>63</v>
      </c>
      <c r="C17" s="24">
        <v>46192</v>
      </c>
      <c r="D17" s="24">
        <v>46201</v>
      </c>
      <c r="E17" s="2" t="s">
        <v>64</v>
      </c>
      <c r="F17" s="6">
        <v>10</v>
      </c>
      <c r="G17" s="2">
        <v>10</v>
      </c>
      <c r="H17" s="11">
        <v>1</v>
      </c>
      <c r="I17" s="2">
        <v>10</v>
      </c>
      <c r="J17" s="2">
        <v>3</v>
      </c>
      <c r="K17" s="2">
        <v>3</v>
      </c>
      <c r="L17" s="2">
        <v>0</v>
      </c>
      <c r="M17" s="5" t="s">
        <v>103</v>
      </c>
      <c r="N17" s="24">
        <v>46199</v>
      </c>
      <c r="O17" s="2"/>
      <c r="P17" s="2"/>
    </row>
    <row r="18" spans="1:16" ht="21.75" customHeight="1" x14ac:dyDescent="0.35">
      <c r="A18" t="s">
        <v>65</v>
      </c>
      <c r="B18" s="10" t="s">
        <v>111</v>
      </c>
      <c r="C18" s="24">
        <v>46202</v>
      </c>
      <c r="D18" s="24">
        <v>46215</v>
      </c>
      <c r="E18" s="2" t="s">
        <v>112</v>
      </c>
      <c r="F18" s="6">
        <v>10</v>
      </c>
      <c r="G18" s="2">
        <v>9</v>
      </c>
      <c r="H18" s="11">
        <v>0.9</v>
      </c>
      <c r="I18" s="2">
        <f t="shared" ref="I18:I26" si="0">IF(G18&gt;0,G18,"")</f>
        <v>9</v>
      </c>
      <c r="J18" s="2">
        <v>3</v>
      </c>
      <c r="K18" s="2">
        <v>2</v>
      </c>
      <c r="L18" s="2">
        <v>0</v>
      </c>
      <c r="M18" s="29" t="s">
        <v>120</v>
      </c>
      <c r="N18" s="24">
        <v>46213</v>
      </c>
      <c r="O18" s="2"/>
      <c r="P18" s="2"/>
    </row>
    <row r="19" spans="1:16" ht="21.75" customHeight="1" x14ac:dyDescent="0.35">
      <c r="A19" t="s">
        <v>66</v>
      </c>
      <c r="B19" s="10" t="s">
        <v>67</v>
      </c>
      <c r="C19" s="24"/>
      <c r="D19" s="24"/>
      <c r="E19" s="2"/>
      <c r="F19" s="6"/>
      <c r="G19" s="2"/>
      <c r="H19" s="11"/>
      <c r="I19" s="2" t="str">
        <f t="shared" si="0"/>
        <v/>
      </c>
      <c r="J19" s="2"/>
      <c r="K19" s="2"/>
      <c r="L19" s="2"/>
      <c r="M19" s="15"/>
      <c r="N19" s="24"/>
      <c r="O19" s="2"/>
      <c r="P19" s="2"/>
    </row>
    <row r="20" spans="1:16" ht="21.75" customHeight="1" x14ac:dyDescent="0.35">
      <c r="A20" t="s">
        <v>68</v>
      </c>
      <c r="B20" s="27" t="s">
        <v>69</v>
      </c>
      <c r="C20" s="24"/>
      <c r="D20" s="24"/>
      <c r="E20" s="2"/>
      <c r="F20" s="6"/>
      <c r="G20" s="2"/>
      <c r="H20" s="11"/>
      <c r="I20" s="2" t="str">
        <f t="shared" si="0"/>
        <v/>
      </c>
      <c r="J20" s="2"/>
      <c r="K20" s="2"/>
      <c r="L20" s="2"/>
      <c r="M20" s="15"/>
      <c r="N20" s="24"/>
      <c r="O20" s="2"/>
      <c r="P20" s="2"/>
    </row>
    <row r="21" spans="1:16" ht="21.75" customHeight="1" x14ac:dyDescent="0.35">
      <c r="A21" t="s">
        <v>70</v>
      </c>
      <c r="B21" s="13" t="s">
        <v>71</v>
      </c>
      <c r="C21" s="24"/>
      <c r="D21" s="24"/>
      <c r="E21" s="2"/>
      <c r="F21" s="6"/>
      <c r="G21" s="2"/>
      <c r="H21" s="11"/>
      <c r="I21" s="2" t="str">
        <f t="shared" si="0"/>
        <v/>
      </c>
      <c r="J21" s="2"/>
      <c r="K21" s="2"/>
      <c r="L21" s="2"/>
      <c r="M21" s="15"/>
      <c r="N21" s="24"/>
      <c r="O21" s="2"/>
      <c r="P21" s="2"/>
    </row>
    <row r="22" spans="1:16" ht="21.75" customHeight="1" x14ac:dyDescent="0.35">
      <c r="A22" t="s">
        <v>72</v>
      </c>
      <c r="B22" s="13" t="s">
        <v>73</v>
      </c>
      <c r="C22" s="24"/>
      <c r="D22" s="24"/>
      <c r="E22" s="2"/>
      <c r="F22" s="6"/>
      <c r="G22" s="2"/>
      <c r="H22" s="11"/>
      <c r="I22" s="2" t="str">
        <f t="shared" si="0"/>
        <v/>
      </c>
      <c r="J22" s="2"/>
      <c r="K22" s="2"/>
      <c r="L22" s="2"/>
      <c r="M22" s="15"/>
      <c r="N22" s="24"/>
      <c r="O22" s="2"/>
      <c r="P22" s="2"/>
    </row>
    <row r="23" spans="1:16" ht="21.75" customHeight="1" x14ac:dyDescent="0.35">
      <c r="A23" t="s">
        <v>74</v>
      </c>
      <c r="B23" s="13" t="s">
        <v>75</v>
      </c>
      <c r="C23" s="24"/>
      <c r="D23" s="24"/>
      <c r="E23" s="2"/>
      <c r="F23" s="6"/>
      <c r="G23" s="2"/>
      <c r="H23" s="11"/>
      <c r="I23" s="2" t="str">
        <f t="shared" si="0"/>
        <v/>
      </c>
      <c r="J23" s="2"/>
      <c r="K23" s="2"/>
      <c r="L23" s="2"/>
      <c r="M23" s="15"/>
      <c r="N23" s="24"/>
      <c r="O23" s="2"/>
      <c r="P23" s="2"/>
    </row>
    <row r="24" spans="1:16" ht="21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21.75" customHeight="1" x14ac:dyDescent="0.35">
      <c r="A25" s="12"/>
      <c r="B25" s="13"/>
      <c r="C25" s="6"/>
      <c r="D25" s="6"/>
      <c r="E25" s="6"/>
      <c r="F25" s="6"/>
      <c r="G25" s="6"/>
      <c r="H25" s="14"/>
      <c r="I25" s="6" t="str">
        <f t="shared" si="0"/>
        <v/>
      </c>
      <c r="J25" s="2"/>
      <c r="K25" s="2"/>
      <c r="L25" s="2"/>
      <c r="M25" s="15"/>
      <c r="N25" s="6"/>
      <c r="O25" s="2"/>
      <c r="P25" s="2"/>
    </row>
    <row r="26" spans="1:16" ht="21.75" customHeight="1" thickBot="1" x14ac:dyDescent="0.4">
      <c r="A26" s="12"/>
      <c r="B26" s="13"/>
      <c r="C26" s="6"/>
      <c r="D26" s="6"/>
      <c r="E26" s="6"/>
      <c r="F26" s="6"/>
      <c r="G26" s="6"/>
      <c r="H26" s="14"/>
      <c r="I26" s="6" t="str">
        <f t="shared" si="0"/>
        <v/>
      </c>
      <c r="J26" s="2"/>
      <c r="K26" s="2"/>
      <c r="L26" s="2"/>
      <c r="N26" s="6"/>
      <c r="O26" s="2"/>
      <c r="P26" s="2"/>
    </row>
    <row r="27" spans="1:16" ht="24" customHeight="1" x14ac:dyDescent="0.35">
      <c r="A27" s="25" t="s">
        <v>76</v>
      </c>
      <c r="B27" s="25"/>
      <c r="C27" s="25"/>
      <c r="D27" s="25"/>
      <c r="E27" s="25"/>
      <c r="F27" s="25"/>
      <c r="G27" s="25">
        <f>SUM(G17:G26)</f>
        <v>19</v>
      </c>
      <c r="H27" s="26">
        <f>AVERAGE(H17:H26)</f>
        <v>0.95</v>
      </c>
      <c r="I27" s="25">
        <f>AVERAGE(I17:I26)</f>
        <v>9.5</v>
      </c>
      <c r="J27" s="25">
        <f>SUM(J17:J26)</f>
        <v>6</v>
      </c>
      <c r="K27" s="25">
        <f>SUM(K17:K26)</f>
        <v>5</v>
      </c>
      <c r="L27" s="25">
        <f>SUM(L17:L26)</f>
        <v>0</v>
      </c>
      <c r="M27" s="25"/>
      <c r="N27" s="25"/>
      <c r="O27" s="25"/>
      <c r="P27" s="25"/>
    </row>
    <row r="30" spans="1:16" ht="27.75" customHeight="1" x14ac:dyDescent="0.35">
      <c r="A30" s="34" t="s">
        <v>77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 ht="27.75" customHeight="1" x14ac:dyDescent="0.35">
      <c r="A31" s="1" t="s">
        <v>78</v>
      </c>
      <c r="B31" s="1" t="s">
        <v>4</v>
      </c>
      <c r="C31" s="1" t="s">
        <v>79</v>
      </c>
      <c r="D31" s="1" t="s">
        <v>80</v>
      </c>
      <c r="E31" s="1" t="s">
        <v>81</v>
      </c>
      <c r="F31" s="1" t="s">
        <v>82</v>
      </c>
      <c r="G31" s="1" t="s">
        <v>83</v>
      </c>
      <c r="H31" s="1" t="s">
        <v>84</v>
      </c>
    </row>
    <row r="32" spans="1:16" ht="37.5" customHeight="1" x14ac:dyDescent="0.35">
      <c r="A32" s="9" t="s">
        <v>85</v>
      </c>
      <c r="B32" s="16" t="s">
        <v>86</v>
      </c>
      <c r="C32" s="17" t="s">
        <v>113</v>
      </c>
      <c r="D32" s="17" t="s">
        <v>117</v>
      </c>
      <c r="E32" s="17" t="s">
        <v>87</v>
      </c>
      <c r="F32" s="17">
        <v>5</v>
      </c>
      <c r="G32" s="30" t="s">
        <v>88</v>
      </c>
      <c r="H32" s="17" t="s">
        <v>91</v>
      </c>
    </row>
    <row r="33" spans="1:16" ht="37.5" customHeight="1" x14ac:dyDescent="0.35">
      <c r="A33" s="12" t="s">
        <v>29</v>
      </c>
      <c r="B33" s="18" t="s">
        <v>90</v>
      </c>
      <c r="C33" s="19" t="s">
        <v>127</v>
      </c>
      <c r="D33" s="19" t="s">
        <v>128</v>
      </c>
      <c r="E33" s="19" t="s">
        <v>127</v>
      </c>
      <c r="F33" s="19">
        <v>5</v>
      </c>
      <c r="G33" s="30" t="s">
        <v>88</v>
      </c>
      <c r="H33" s="17" t="s">
        <v>89</v>
      </c>
    </row>
    <row r="34" spans="1:16" ht="37.5" customHeight="1" x14ac:dyDescent="0.35">
      <c r="A34" s="9" t="s">
        <v>16</v>
      </c>
      <c r="B34" s="16" t="s">
        <v>92</v>
      </c>
      <c r="C34" s="17" t="s">
        <v>132</v>
      </c>
      <c r="D34" s="17" t="s">
        <v>126</v>
      </c>
      <c r="E34" s="20" t="s">
        <v>114</v>
      </c>
      <c r="F34" s="17">
        <v>5</v>
      </c>
      <c r="G34" s="30" t="str">
        <f>G33</f>
        <v>Done</v>
      </c>
      <c r="H34" s="17" t="s">
        <v>91</v>
      </c>
    </row>
    <row r="35" spans="1:16" ht="37.5" customHeight="1" x14ac:dyDescent="0.35">
      <c r="A35" s="12" t="s">
        <v>93</v>
      </c>
      <c r="B35" s="18" t="s">
        <v>94</v>
      </c>
      <c r="C35" s="19" t="str">
        <f>D35</f>
        <v>Design Planning</v>
      </c>
      <c r="D35" s="19" t="s">
        <v>131</v>
      </c>
      <c r="E35" s="19" t="s">
        <v>87</v>
      </c>
      <c r="F35" s="19">
        <v>5</v>
      </c>
      <c r="G35" s="30" t="str">
        <f>G32</f>
        <v>Done</v>
      </c>
      <c r="H35" s="17" t="s">
        <v>91</v>
      </c>
    </row>
    <row r="36" spans="1:16" ht="37.5" customHeight="1" x14ac:dyDescent="0.35">
      <c r="A36" s="9" t="s">
        <v>24</v>
      </c>
      <c r="B36" s="16" t="s">
        <v>95</v>
      </c>
      <c r="C36" s="17" t="s">
        <v>121</v>
      </c>
      <c r="D36" s="17" t="s">
        <v>122</v>
      </c>
      <c r="E36" s="20" t="s">
        <v>123</v>
      </c>
      <c r="F36" s="17">
        <v>4</v>
      </c>
      <c r="G36" s="31" t="s">
        <v>96</v>
      </c>
      <c r="H36" s="17" t="str">
        <f>H35</f>
        <v>no</v>
      </c>
    </row>
    <row r="37" spans="1:16" ht="37.5" customHeight="1" x14ac:dyDescent="0.35">
      <c r="A37" s="12" t="s">
        <v>27</v>
      </c>
      <c r="B37" s="18" t="s">
        <v>97</v>
      </c>
      <c r="C37" s="19" t="s">
        <v>124</v>
      </c>
      <c r="D37" s="19" t="s">
        <v>125</v>
      </c>
      <c r="E37" s="21" t="s">
        <v>114</v>
      </c>
      <c r="F37" s="19">
        <v>5</v>
      </c>
      <c r="G37" s="30" t="str">
        <f>G33</f>
        <v>Done</v>
      </c>
      <c r="H37" s="17" t="s">
        <v>89</v>
      </c>
    </row>
    <row r="38" spans="1:16" ht="37.5" customHeight="1" x14ac:dyDescent="0.35">
      <c r="A38" s="9" t="s">
        <v>98</v>
      </c>
      <c r="B38" s="16" t="s">
        <v>99</v>
      </c>
      <c r="C38" s="17" t="s">
        <v>129</v>
      </c>
      <c r="D38" s="17" t="s">
        <v>130</v>
      </c>
      <c r="E38" s="20" t="s">
        <v>87</v>
      </c>
      <c r="F38" s="17">
        <v>4</v>
      </c>
      <c r="G38" s="31" t="s">
        <v>96</v>
      </c>
      <c r="H38" s="17" t="s">
        <v>91</v>
      </c>
    </row>
    <row r="39" spans="1:16" x14ac:dyDescent="0.35">
      <c r="H39" s="17"/>
    </row>
    <row r="40" spans="1:16" ht="27.75" customHeight="1" x14ac:dyDescent="0.35">
      <c r="A40" s="34" t="s">
        <v>100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ht="27.75" customHeight="1" x14ac:dyDescent="0.35">
      <c r="A41" s="1" t="s">
        <v>101</v>
      </c>
      <c r="B41" s="1" t="s">
        <v>102</v>
      </c>
      <c r="C41" s="1" t="s">
        <v>103</v>
      </c>
      <c r="D41" s="1" t="s">
        <v>104</v>
      </c>
      <c r="E41" s="1" t="s">
        <v>55</v>
      </c>
      <c r="F41" s="1" t="s">
        <v>54</v>
      </c>
      <c r="G41" s="1" t="s">
        <v>105</v>
      </c>
      <c r="H41" s="1" t="s">
        <v>106</v>
      </c>
    </row>
    <row r="42" spans="1:16" ht="19.5" customHeight="1" x14ac:dyDescent="0.35">
      <c r="A42" s="2" t="s">
        <v>62</v>
      </c>
      <c r="B42" s="2">
        <v>10</v>
      </c>
      <c r="C42" s="2">
        <v>0</v>
      </c>
      <c r="D42" s="2">
        <v>0</v>
      </c>
      <c r="E42" s="2">
        <v>10</v>
      </c>
      <c r="F42" s="11">
        <v>1</v>
      </c>
      <c r="G42" s="2">
        <v>7</v>
      </c>
      <c r="H42" s="2">
        <v>3</v>
      </c>
    </row>
    <row r="43" spans="1:16" ht="19.5" customHeight="1" x14ac:dyDescent="0.35">
      <c r="A43" s="6" t="s">
        <v>65</v>
      </c>
      <c r="B43" s="6">
        <v>10</v>
      </c>
      <c r="C43" s="6">
        <v>9</v>
      </c>
      <c r="D43" s="6">
        <v>1</v>
      </c>
      <c r="E43" s="6">
        <v>9</v>
      </c>
      <c r="F43" s="14">
        <v>0.9</v>
      </c>
      <c r="G43" s="6">
        <v>2</v>
      </c>
      <c r="H43" s="6">
        <v>1</v>
      </c>
    </row>
    <row r="44" spans="1:16" ht="19.5" customHeight="1" x14ac:dyDescent="0.35">
      <c r="A44" s="2" t="s">
        <v>66</v>
      </c>
      <c r="B44" s="6"/>
      <c r="C44" s="6"/>
      <c r="D44" s="6"/>
      <c r="E44" s="6"/>
      <c r="F44" s="6"/>
      <c r="G44" s="6"/>
      <c r="H44" s="6"/>
    </row>
    <row r="45" spans="1:16" ht="19.5" customHeight="1" x14ac:dyDescent="0.35">
      <c r="A45" s="6" t="s">
        <v>68</v>
      </c>
      <c r="B45" s="6"/>
      <c r="C45" s="6"/>
      <c r="D45" s="6"/>
      <c r="E45" s="6"/>
      <c r="F45" s="6"/>
      <c r="G45" s="6"/>
      <c r="H45" s="6"/>
    </row>
    <row r="46" spans="1:16" ht="19.5" customHeight="1" x14ac:dyDescent="0.35">
      <c r="A46" s="2" t="s">
        <v>70</v>
      </c>
      <c r="B46" s="6"/>
      <c r="C46" s="6"/>
      <c r="D46" s="6"/>
      <c r="E46" s="6"/>
      <c r="F46" s="6"/>
      <c r="G46" s="6"/>
      <c r="H46" s="6"/>
    </row>
    <row r="47" spans="1:16" ht="19.5" customHeight="1" x14ac:dyDescent="0.35">
      <c r="A47" s="6" t="s">
        <v>72</v>
      </c>
      <c r="B47" s="6"/>
      <c r="C47" s="6"/>
      <c r="D47" s="6"/>
      <c r="E47" s="6"/>
      <c r="F47" s="6"/>
      <c r="G47" s="6"/>
      <c r="H47" s="6"/>
    </row>
    <row r="48" spans="1:16" ht="19.5" customHeight="1" x14ac:dyDescent="0.35">
      <c r="A48" s="2" t="s">
        <v>74</v>
      </c>
      <c r="B48" s="6"/>
      <c r="C48" s="6"/>
      <c r="D48" s="6"/>
      <c r="E48" s="6"/>
      <c r="F48" s="6"/>
      <c r="G48" s="6"/>
      <c r="H48" s="6"/>
    </row>
    <row r="49" spans="1:8" ht="19.5" customHeight="1" x14ac:dyDescent="0.35">
      <c r="A49" s="6"/>
      <c r="B49" s="6"/>
      <c r="C49" s="6"/>
      <c r="D49" s="6"/>
      <c r="E49" s="6"/>
      <c r="F49" s="6"/>
      <c r="G49" s="6"/>
      <c r="H49" s="6"/>
    </row>
    <row r="50" spans="1:8" ht="19.5" customHeight="1" x14ac:dyDescent="0.35">
      <c r="A50" s="6"/>
      <c r="B50" s="6"/>
      <c r="C50" s="6"/>
      <c r="D50" s="6"/>
      <c r="E50" s="6"/>
      <c r="F50" s="6"/>
      <c r="G50" s="6"/>
      <c r="H50" s="6"/>
    </row>
    <row r="51" spans="1:8" ht="19.5" customHeight="1" x14ac:dyDescent="0.35">
      <c r="A51" s="6"/>
      <c r="B51" s="6"/>
      <c r="C51" s="6"/>
      <c r="D51" s="6"/>
      <c r="E51" s="6"/>
      <c r="F51" s="6"/>
      <c r="G51" s="6"/>
      <c r="H51" s="6"/>
    </row>
  </sheetData>
  <mergeCells count="5">
    <mergeCell ref="A1:P1"/>
    <mergeCell ref="A40:P40"/>
    <mergeCell ref="A4:P4"/>
    <mergeCell ref="A30:P30"/>
    <mergeCell ref="A2:P2"/>
  </mergeCells>
  <phoneticPr fontId="11" type="noConversion"/>
  <hyperlinks>
    <hyperlink ref="D6" r:id="rId1" xr:uid="{358672EE-ECFA-46A9-B65A-B80CE8EC2379}"/>
    <hyperlink ref="D7" r:id="rId2" xr:uid="{4CF0480A-FC1A-4F7D-B848-EB6714EB09E3}"/>
    <hyperlink ref="D8" r:id="rId3" xr:uid="{7EB0B961-4D6D-4622-8490-F0A506F7C41D}"/>
    <hyperlink ref="D9" r:id="rId4" xr:uid="{898EE0D2-2DC2-4A7A-BD8F-71B1F581BE76}"/>
    <hyperlink ref="D10" r:id="rId5" xr:uid="{9A60FBCD-2257-439F-8D31-A636D2BF3065}"/>
    <hyperlink ref="D11" r:id="rId6" xr:uid="{B227FD79-6A64-4840-9604-C38B69CC9A3F}"/>
    <hyperlink ref="D12" r:id="rId7" xr:uid="{6DA2F894-2D15-46E1-808B-330F8BA2CF92}"/>
  </hyperlinks>
  <pageMargins left="0.75" right="0.75" top="1" bottom="1" header="0.511811023622047" footer="0.511811023622047"/>
  <pageSetup paperSize="9" orientation="portrait" horizontalDpi="300" verticalDpi="300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delta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Krutibash N</dc:creator>
  <cp:keywords/>
  <dc:description/>
  <cp:lastModifiedBy>Manognya Jain</cp:lastModifiedBy>
  <cp:revision/>
  <dcterms:created xsi:type="dcterms:W3CDTF">2026-06-15T06:10:53Z</dcterms:created>
  <dcterms:modified xsi:type="dcterms:W3CDTF">2026-08-12T04:19:09Z</dcterms:modified>
  <cp:category/>
  <cp:contentStatus/>
</cp:coreProperties>
</file>